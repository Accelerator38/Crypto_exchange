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f716b41c3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176f003ea14a2a"/>
    <x:sheet xmlns:r="http://schemas.openxmlformats.org/officeDocument/2006/relationships" name="Milestones" sheetId="2" r:id="R864d2c11e64e4a8f"/>
    <x:sheet xmlns:r="http://schemas.openxmlformats.org/officeDocument/2006/relationships" name="Sources" sheetId="3" r:id="R41c2210299844e83"/>
    <x:sheet xmlns:r="http://schemas.openxmlformats.org/officeDocument/2006/relationships" name="Chart Data" sheetId="4" r:id="R8c99621f6d1a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881337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2"/>
      <x:color rgb="FFFFFFFF"/>
      <x:name val="Carlito"/>
    </x:font>
    <x:font>
      <x:b/>
      <x:sz val="11"/>
      <x:color rgb="FF78350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02B"/>
      </x:patternFill>
    </x:fill>
    <x:fill>
      <x:patternFill patternType="solid">
        <x:fgColor rgb="FFFFF1F2"/>
      </x:patternFill>
    </x:fill>
    <x:fill>
      <x:patternFill patternType="solid">
        <x:fgColor rgb="FF374151"/>
      </x:patternFill>
    </x:fill>
    <x:fill>
      <x:patternFill patternType="solid">
        <x:fgColor rgb="FF4B5563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5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medium">
        <x:color rgb="FF9CA3A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200" fontId="0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200" fontId="2" fillId="3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1f4c7020f4cd3" /><Relationship Type="http://schemas.openxmlformats.org/officeDocument/2006/relationships/theme" Target="/xl/theme/theme1.xml" Id="R6455773cbc1442af" /><Relationship Type="http://schemas.openxmlformats.org/officeDocument/2006/relationships/sharedStrings" Target="/xl/sharedStrings.xml" Id="Rc078b5889f584972" /><Relationship Type="http://schemas.openxmlformats.org/officeDocument/2006/relationships/worksheet" Target="/xl/worksheets/sheet1.xml" Id="R55176f003ea14a2a" /><Relationship Type="http://schemas.openxmlformats.org/officeDocument/2006/relationships/worksheet" Target="/xl/worksheets/sheet2.xml" Id="R864d2c11e64e4a8f" /><Relationship Type="http://schemas.openxmlformats.org/officeDocument/2006/relationships/worksheet" Target="/xl/worksheets/sheet3.xml" Id="R41c2210299844e83" /><Relationship Type="http://schemas.openxmlformats.org/officeDocument/2006/relationships/worksheet" Target="/xl/worksheets/sheet4.xml" Id="R8c99621f6d1a4b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a3bd200be947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Stress-costed mean по ключевым вехам, bps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Overall</c:v>
          </c:tx>
          <c:spPr>
            <a:solidFill xmlns:a="http://schemas.openxmlformats.org/drawingml/2006/main">
              <a:srgbClr val="111827"/>
            </a:solidFill>
          </c:spPr>
          <c:marker>
            <c:symbol val="none"/>
          </c:marker>
          <c:cat>
            <c:strRef>
              <c:f>'Chart Data'!$A$2:$A$9</c:f>
              <c:strCache>
                <c:ptCount val="0"/>
              </c:strCache>
            </c:strRef>
          </c:cat>
          <c:val>
            <c:numRef>
              <c:f>'Chart Data'!$B$2:$B$9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Trend Up</c:v>
          </c:tx>
          <c:spPr>
            <a:solidFill xmlns:a="http://schemas.openxmlformats.org/drawingml/2006/main">
              <a:srgbClr val="16A34A"/>
            </a:solidFill>
          </c:spPr>
          <c:marker>
            <c:symbol val="none"/>
          </c:marker>
          <c:cat>
            <c:strRef>
              <c:f>'Chart Data'!$A$2:$A$9</c:f>
              <c:strCache>
                <c:ptCount val="0"/>
              </c:strCache>
            </c:strRef>
          </c:cat>
          <c:val>
            <c:numRef>
              <c:f>'Chart Data'!$C$2:$C$9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Trend Down</c:v>
          </c:tx>
          <c:spPr>
            <a:solidFill xmlns:a="http://schemas.openxmlformats.org/drawingml/2006/main">
              <a:srgbClr val="DC2626"/>
            </a:solidFill>
          </c:spPr>
          <c:marker>
            <c:symbol val="none"/>
          </c:marker>
          <c:cat>
            <c:strRef>
              <c:f>'Chart Data'!$A$2:$A$9</c:f>
              <c:strCache>
                <c:ptCount val="0"/>
              </c:strCache>
            </c:strRef>
          </c:cat>
          <c:val>
            <c:numRef>
              <c:f>'Chart Data'!$D$2:$D$9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Range / Neutral</c:v>
          </c:tx>
          <c:spPr>
            <a:solidFill xmlns:a="http://schemas.openxmlformats.org/drawingml/2006/main">
              <a:srgbClr val="D97706"/>
            </a:solidFill>
          </c:spPr>
          <c:marker>
            <c:symbol val="none"/>
          </c:marker>
          <c:cat>
            <c:strRef>
              <c:f>'Chart Data'!$A$2:$A$9</c:f>
              <c:strCache>
                <c:ptCount val="0"/>
              </c:strCache>
            </c:strRef>
          </c:cat>
          <c:val>
            <c:numRef>
              <c:f>'Chart Data'!$E$2:$E$9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bps / сделка или наблюдение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a3bd200be947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iaMilestonesTable" displayName="ExiaMilestonesTable" ref="A1:T9" headerRowCount="1" totalsRowCount="0" totalsRowShown="0">
  <x:tableColumns count="20">
    <x:tableColumn id="1" name="Milestone ID"/>
    <x:tableColumn id="2" name="Chart label"/>
    <x:tableColumn id="3" name="Build datetime"/>
    <x:tableColumn id="4" name="Timeframe"/>
    <x:tableColumn id="5" name="Window"/>
    <x:tableColumn id="6" name="Candidate"/>
    <x:tableColumn id="7" name="Overall mean, bps"/>
    <x:tableColumn id="8" name="Trend Up mean, bps"/>
    <x:tableColumn id="9" name="Trend Down mean, bps"/>
    <x:tableColumn id="10" name="Range/Neutral mean, bps"/>
    <x:tableColumn id="11" name="Overall LCB, bps"/>
    <x:tableColumn id="12" name="Family-wise LCB, bps"/>
    <x:tableColumn id="13" name="Median, bps"/>
    <x:tableColumn id="14" name="Trades / observations"/>
    <x:tableColumn id="15" name="Gate pass"/>
    <x:tableColumn id="16" name="Status"/>
    <x:tableColumn id="17" name="Selection criterion"/>
    <x:tableColumn id="18" name="Main difference"/>
    <x:tableColumn id="19" name="Decision"/>
    <x:tableColumn id="20" name="Source repor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aProgressSourcesTable" displayName="ExiaProgressSourcesTable" ref="A1:G9" headerRowCount="1" totalsRowCount="0" totalsRowShown="0">
  <x:tableColumns count="7">
    <x:tableColumn id="1" name="Milestone ID"/>
    <x:tableColumn id="2" name="Report path"/>
    <x:tableColumn id="3" name="Report SHA-256"/>
    <x:tableColumn id="4" name="Metrics path"/>
    <x:tableColumn id="5" name="Metrics SHA-256"/>
    <x:tableColumn id="6" name="Ledger path"/>
    <x:tableColumn id="7" name="Ledger SHA-256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9a8e7379c449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bc69cd186247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d1d97b0b2f45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31" hidden="0" customWidth="1"/>
    <x:col min="4" max="4" width="9" hidden="0" customWidth="1"/>
    <x:col min="5" max="5" width="13" hidden="0" customWidth="1"/>
    <x:col min="6" max="6" width="12" hidden="0" customWidth="1"/>
    <x:col min="7" max="7" width="13" hidden="0" customWidth="1"/>
    <x:col min="8" max="8" width="14" hidden="0" customWidth="1"/>
    <x:col min="9" max="9" width="18" hidden="0" customWidth="1"/>
    <x:col min="10" max="10" width="13" hidden="0" customWidth="1"/>
    <x:col min="11" max="11" width="10" hidden="0" customWidth="1"/>
    <x:col min="12" max="12" width="48" hidden="0" customWidth="1"/>
    <x:col min="13" max="13" width="43" hidden="0" customWidth="1"/>
  </x:cols>
  <x:sheetData>
    <x:row r="1" ht="29" customHeight="1">
      <x:c r="A1" s="28" t="str">
        <x:v>Exia — прогресс ключевых сборок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 ht="29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0" customHeight="1">
      <x:c r="A3" s="31" t="str">
        <x:v>Метрика: средний stress-costed результат, bps на сделку/наблюдение. Более высокий mean не означает прохождение gate.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</x:row>
    <x:row r="22" ht="30" customHeight="1">
      <x:c r="A22" s="32" t="str">
        <x:v>Ключевые вехи и главное отличие сборки</x:v>
      </x:c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</x:row>
    <x:row r="23" ht="30" customHeight="1">
      <x:c r="A23" s="37" t="str">
        <x:v>Веха</x:v>
      </x:c>
      <x:c r="B23" s="37" t="str">
        <x:v>Дата сборки</x:v>
      </x:c>
      <x:c r="C23" s="37" t="str">
        <x:v>Сборка</x:v>
      </x:c>
      <x:c r="D23" s="37" t="str">
        <x:v>TF</x:v>
      </x:c>
      <x:c r="E23" s="37" t="str">
        <x:v>Окно</x:v>
      </x:c>
      <x:c r="F23" s="37" t="str">
        <x:v>Overall</x:v>
      </x:c>
      <x:c r="G23" s="37" t="str">
        <x:v>Trend Up</x:v>
      </x:c>
      <x:c r="H23" s="37" t="str">
        <x:v>Trend Down</x:v>
      </x:c>
      <x:c r="I23" s="37" t="str">
        <x:v>Range/Neutral</x:v>
      </x:c>
      <x:c r="J23" s="37" t="str">
        <x:v>LCB</x:v>
      </x:c>
      <x:c r="K23" s="37" t="str">
        <x:v>Gate</x:v>
      </x:c>
      <x:c r="L23" s="37" t="str">
        <x:v>Главное отличие</x:v>
      </x:c>
      <x:c r="M23" s="37" t="str">
        <x:v>Решение</x:v>
      </x:c>
    </x:row>
    <x:row r="24" ht="58" customHeight="1">
      <x:c r="A24" s="38" t="str">
        <x:v>M01_ADA_DONCHIAN48</x:v>
      </x:c>
      <x:c r="B24" s="38" t="str">
        <x:v>05.08.2026, 07:25</x:v>
      </x:c>
      <x:c r="C24" s="38" t="str">
        <x:v>exia_ada_donchian48_v2</x:v>
      </x:c>
      <x:c r="D24" s="38" t="str">
        <x:v>1h</x:v>
      </x:c>
      <x:c r="E24" s="38" t="str">
        <x:v>development</x:v>
      </x:c>
      <x:c r="F24" s="39" t="n">
        <x:v>-9.193448777880858</x:v>
      </x:c>
      <x:c r="G24" s="39" t="n">
        <x:v>-10.959297980698064</x:v>
      </x:c>
      <x:c r="H24" s="39" t="n">
        <x:v>-7.613478438518079</x:v>
      </x:c>
      <x:c r="I24" s="39"/>
      <x:c r="J24" s="39" t="n">
        <x:v>-80.01052536351571</x:v>
      </x:c>
      <x:c r="K24" s="38" t="str">
        <x:v>FAIL</x:v>
      </x:c>
      <x:c r="L24" s="38" t="str">
        <x:v>Первый costed trend baseline с отдельными TREND_UP/TREND_DOWN срезами.</x:v>
      </x:c>
      <x:c r="M24" s="38" t="str">
        <x:v>FAIL: отрицательные mean и LCB</x:v>
      </x:c>
    </x:row>
    <x:row r="25" ht="58" customHeight="1">
      <x:c r="A25" s="38" t="str">
        <x:v>M02_RANGE_REENTRY</x:v>
      </x:c>
      <x:c r="B25" s="38" t="str">
        <x:v>05.08.2026, 07:26</x:v>
      </x:c>
      <x:c r="C25" s="38" t="str">
        <x:v>exia_range_band_reentry_v1</x:v>
      </x:c>
      <x:c r="D25" s="38" t="str">
        <x:v>1h</x:v>
      </x:c>
      <x:c r="E25" s="38" t="str">
        <x:v>development</x:v>
      </x:c>
      <x:c r="F25" s="39" t="n">
        <x:v>-18.972577138407747</x:v>
      </x:c>
      <x:c r="G25" s="39"/>
      <x:c r="H25" s="39"/>
      <x:c r="I25" s="39" t="n">
        <x:v>-18.972577138407747</x:v>
      </x:c>
      <x:c r="J25" s="39" t="n">
        <x:v>-31.583757696969847</x:v>
      </x:c>
      <x:c r="K25" s="38" t="str">
        <x:v>FAIL</x:v>
      </x:c>
      <x:c r="L25" s="38" t="str">
        <x:v>Отдельный RANGE-only агент вместо общей trend-логики.</x:v>
      </x:c>
      <x:c r="M25" s="38" t="str">
        <x:v>FAIL: range expectancy отрицательная</x:v>
      </x:c>
    </x:row>
    <x:row r="26" ht="58" customHeight="1">
      <x:c r="A26" s="38" t="str">
        <x:v>M03_REGIME_TRANSITION</x:v>
      </x:c>
      <x:c r="B26" s="38" t="str">
        <x:v>11.08.2026, 14:18</x:v>
      </x:c>
      <x:c r="C26" s="38" t="str">
        <x:v>exia_range_trend_transition_v1</x:v>
      </x:c>
      <x:c r="D26" s="38" t="str">
        <x:v>1h</x:v>
      </x:c>
      <x:c r="E26" s="38" t="str">
        <x:v>development</x:v>
      </x:c>
      <x:c r="F26" s="39" t="n">
        <x:v>-10.455404893311561</x:v>
      </x:c>
      <x:c r="G26" s="39" t="n">
        <x:v>-9.97839505156172</x:v>
      </x:c>
      <x:c r="H26" s="39" t="n">
        <x:v>-11.015808064038644</x:v>
      </x:c>
      <x:c r="I26" s="39"/>
      <x:c r="J26" s="39" t="n">
        <x:v>-40.89510398643512</x:v>
      </x:c>
      <x:c r="K26" s="38" t="str">
        <x:v>FAIL</x:v>
      </x:c>
      <x:c r="L26" s="38" t="str">
        <x:v>Вход только на переходе режима, а не внутри устойчивого состояния.</x:v>
      </x:c>
      <x:c r="M26" s="38" t="str">
        <x:v>FAIL: оба trend-режима отрицательны</x:v>
      </x:c>
    </x:row>
    <x:row r="27" ht="58" customHeight="1">
      <x:c r="A27" s="38" t="str">
        <x:v>M04_4H_MARKET_QUORUM</x:v>
      </x:c>
      <x:c r="B27" s="38" t="str">
        <x:v>20.08.2026, 07:03</x:v>
      </x:c>
      <x:c r="C27" s="38" t="str">
        <x:v>MQ_EMA12_48_LONG</x:v>
      </x:c>
      <x:c r="D27" s="38" t="str">
        <x:v>4h</x:v>
      </x:c>
      <x:c r="E27" s="38" t="str">
        <x:v>development</x:v>
      </x:c>
      <x:c r="F27" s="39" t="n">
        <x:v>34.98139059809065</x:v>
      </x:c>
      <x:c r="G27" s="39" t="n">
        <x:v>34.98139059809065</x:v>
      </x:c>
      <x:c r="H27" s="39"/>
      <x:c r="I27" s="39"/>
      <x:c r="J27" s="39" t="n">
        <x:v>-6.728629393676774</x:v>
      </x:c>
      <x:c r="K27" s="38" t="str">
        <x:v>FAIL</x:v>
      </x:c>
      <x:c r="L27" s="38" t="str">
        <x:v>Единый 4h full8 market quorum; нейтральный режим стал NoTrade.</x:v>
      </x:c>
      <x:c r="M27" s="38" t="str">
        <x:v>FAIL: positive mean, negative LCB</x:v>
      </x:c>
    </x:row>
    <x:row r="28" ht="58" customHeight="1">
      <x:c r="A28" s="38" t="str">
        <x:v>M05_TAIL_CONTROL</x:v>
      </x:c>
      <x:c r="B28" s="38" t="str">
        <x:v>20.08.2026, 07:29</x:v>
      </x:c>
      <x:c r="C28" s="38" t="str">
        <x:v>ATR_BREAKEVEN_PROGRESS24</x:v>
      </x:c>
      <x:c r="D28" s="38" t="str">
        <x:v>4h</x:v>
      </x:c>
      <x:c r="E28" s="38" t="str">
        <x:v>development</x:v>
      </x:c>
      <x:c r="F28" s="39" t="n">
        <x:v>13.093182838936828</x:v>
      </x:c>
      <x:c r="G28" s="39" t="n">
        <x:v>13.093182838936832</x:v>
      </x:c>
      <x:c r="H28" s="39"/>
      <x:c r="I28" s="39"/>
      <x:c r="J28" s="39" t="n">
        <x:v>-14.325441904054664</x:v>
      </x:c>
      <x:c r="K28" s="38" t="str">
        <x:v>FAIL</x:v>
      </x:c>
      <x:c r="L28" s="38" t="str">
        <x:v>Gap-aware ATR, breakeven, no-progress и max-holding при неизменном входе.</x:v>
      </x:c>
      <x:c r="M28" s="38" t="str">
        <x:v>FAIL: median improved but remains negative</x:v>
      </x:c>
    </x:row>
    <x:row r="29" ht="58" customHeight="1">
      <x:c r="A29" s="38" t="str">
        <x:v>M06_SPARSE_EVENTS</x:v>
      </x:c>
      <x:c r="B29" s="38" t="str">
        <x:v>20.08.2026, 07:40</x:v>
      </x:c>
      <x:c r="C29" s="38" t="str">
        <x:v>TOP_QUARTILE_BREAKOUT20</x:v>
      </x:c>
      <x:c r="D29" s="38" t="str">
        <x:v>4h</x:v>
      </x:c>
      <x:c r="E29" s="38" t="str">
        <x:v>development</x:v>
      </x:c>
      <x:c r="F29" s="39" t="n">
        <x:v>-7.9268364201409405</x:v>
      </x:c>
      <x:c r="G29" s="39" t="n">
        <x:v>-7.9268364201409405</x:v>
      </x:c>
      <x:c r="H29" s="39"/>
      <x:c r="I29" s="39"/>
      <x:c r="J29" s="39" t="n">
        <x:v>-65.42066186099755</x:v>
      </x:c>
      <x:c r="K29" s="38" t="str">
        <x:v>FAIL</x:v>
      </x:c>
      <x:c r="L29" s="38" t="str">
        <x:v>Одноразовые event-входы; нулевой event больше не закрывает позицию.</x:v>
      </x:c>
      <x:c r="M29" s="38" t="str">
        <x:v>FAIL: expectancy and LCB negative</x:v>
      </x:c>
    </x:row>
    <x:row r="30" ht="58" customHeight="1">
      <x:c r="A30" s="38" t="str">
        <x:v>M07_FORWARD_FEASIBILITY</x:v>
      </x:c>
      <x:c r="B30" s="38" t="str">
        <x:v>20.08.2026, 07:54</x:v>
      </x:c>
      <x:c r="C30" s="38" t="str">
        <x:v>BULLISH_REGIME_TRANSITION__H1</x:v>
      </x:c>
      <x:c r="D30" s="38" t="str">
        <x:v>4h</x:v>
      </x:c>
      <x:c r="E30" s="38" t="str">
        <x:v>development</x:v>
      </x:c>
      <x:c r="F30" s="39" t="n">
        <x:v>28.053810183038564</x:v>
      </x:c>
      <x:c r="G30" s="39" t="n">
        <x:v>28.05381018303857</x:v>
      </x:c>
      <x:c r="H30" s="39"/>
      <x:c r="I30" s="39"/>
      <x:c r="J30" s="39" t="n">
        <x:v>7.590933097525903</x:v>
      </x:c>
      <x:c r="K30" s="38" t="str">
        <x:v>FAIL</x:v>
      </x:c>
      <x:c r="L30" s="38" t="str">
        <x:v>Вход проверяется напрямую на fixed horizon без stop/trailing/position-policy.</x:v>
      </x:c>
      <x:c r="M30" s="38" t="str">
        <x:v>FAIL: ordinary LCB positive, family-wise LCB and median negative</x:v>
      </x:c>
    </x:row>
    <x:row r="31" ht="58" customHeight="1">
      <x:c r="A31" s="44" t="str">
        <x:v>M08_SOL_VALIDATION</x:v>
      </x:c>
      <x:c r="B31" s="44" t="str">
        <x:v>20.08.2026, 08:03</x:v>
      </x:c>
      <x:c r="C31" s="44" t="str">
        <x:v>SOL_PULLBACK_H12_REPLICATION</x:v>
      </x:c>
      <x:c r="D31" s="44" t="str">
        <x:v>4h</x:v>
      </x:c>
      <x:c r="E31" s="44" t="str">
        <x:v>validation</x:v>
      </x:c>
      <x:c r="F31" s="45" t="n">
        <x:v>57.57277767464116</x:v>
      </x:c>
      <x:c r="G31" s="45" t="n">
        <x:v>57.57277767464116</x:v>
      </x:c>
      <x:c r="H31" s="45"/>
      <x:c r="I31" s="45"/>
      <x:c r="J31" s="45" t="n">
        <x:v>-190.23731434430195</x:v>
      </x:c>
      <x:c r="K31" s="44" t="str">
        <x:v>FAIL</x:v>
      </x:c>
      <x:c r="L31" s="44" t="str">
        <x:v>Независимая validation без повторного подбора; ветка закрывается при провале.</x:v>
      </x:c>
      <x:c r="M31" s="44" t="str">
        <x:v>VALIDATION FAIL: close 4h long-trend branch</x:v>
      </x:c>
    </x:row>
    <x:row r="33" ht="34" customHeight="1">
      <x:c r="A33" s="49" t="str">
        <x:v>Текущая инженерная веха M08 корректно закрыла переобученную 4h long-trend ветку на независимой validation. Положительный mean M08 не является торговым допуском: median и LCB отрицательны.</x:v>
      </x:c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</x:row>
    <x:row r="34" ht="34" customHeight="1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</x:row>
  </x:sheetData>
  <x:mergeCells>
    <x:mergeCell ref="A1:M2"/>
    <x:mergeCell ref="A3:M3"/>
    <x:mergeCell ref="A22:M22"/>
    <x:mergeCell ref="A33:M34"/>
  </x:mergeCells>
  <x:conditionalFormatting sqref="K24:K31">
    <x:cfRule type="cellIs" dxfId="1" priority="1" operator="equal">
      <x:formula>"FAIL"</x:formula>
    </x:cfRule>
  </x:conditionalFormatting>
  <x:pageMargins left="0.7" right="0.7" top="0.75" bottom="0.75" header="0.3" footer="0.3"/>
  <x:drawing xmlns:r="http://schemas.openxmlformats.org/officeDocument/2006/relationships" r:id="R419a8e7379c449c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9" hidden="0" customWidth="1"/>
    <x:col min="4" max="4" width="11" hidden="0" customWidth="1"/>
    <x:col min="5" max="5" width="14" hidden="0" customWidth="1"/>
    <x:col min="6" max="6" width="34" hidden="0" customWidth="1"/>
    <x:col min="7" max="7" width="16" hidden="0" customWidth="1"/>
    <x:col min="8" max="8" width="18" hidden="0" customWidth="1"/>
    <x:col min="9" max="9" width="20" hidden="0" customWidth="1"/>
    <x:col min="10" max="10" width="24" hidden="0" customWidth="1"/>
    <x:col min="11" max="11" width="16" hidden="0" customWidth="1"/>
    <x:col min="12" max="12" width="21" hidden="0" customWidth="1"/>
    <x:col min="13" max="13" width="14" hidden="0" customWidth="1"/>
    <x:col min="14" max="14" width="20" hidden="0" customWidth="1"/>
    <x:col min="15" max="15" width="12" hidden="0" customWidth="1"/>
    <x:col min="16" max="16" width="36" hidden="0" customWidth="1"/>
    <x:col min="17" max="17" width="42" hidden="0" customWidth="1"/>
    <x:col min="18" max="18" width="56" hidden="0" customWidth="1"/>
    <x:col min="19" max="19" width="50" hidden="0" customWidth="1"/>
    <x:col min="20" max="20" width="68" hidden="0" customWidth="1"/>
  </x:cols>
  <x:sheetData>
    <x:row r="1" ht="38" customHeight="1">
      <x:c r="A1" s="4" t="str">
        <x:v>Milestone ID</x:v>
      </x:c>
      <x:c r="B1" s="4" t="str">
        <x:v>Chart label</x:v>
      </x:c>
      <x:c r="C1" s="4" t="str">
        <x:v>Build datetime</x:v>
      </x:c>
      <x:c r="D1" s="4" t="str">
        <x:v>Timeframe</x:v>
      </x:c>
      <x:c r="E1" s="4" t="str">
        <x:v>Window</x:v>
      </x:c>
      <x:c r="F1" s="4" t="str">
        <x:v>Candidate</x:v>
      </x:c>
      <x:c r="G1" s="4" t="str">
        <x:v>Overall mean, bps</x:v>
      </x:c>
      <x:c r="H1" s="4" t="str">
        <x:v>Trend Up mean, bps</x:v>
      </x:c>
      <x:c r="I1" s="4" t="str">
        <x:v>Trend Down mean, bps</x:v>
      </x:c>
      <x:c r="J1" s="4" t="str">
        <x:v>Range/Neutral mean, bps</x:v>
      </x:c>
      <x:c r="K1" s="4" t="str">
        <x:v>Overall LCB, bps</x:v>
      </x:c>
      <x:c r="L1" s="4" t="str">
        <x:v>Family-wise LCB, bps</x:v>
      </x:c>
      <x:c r="M1" s="4" t="str">
        <x:v>Median, bps</x:v>
      </x:c>
      <x:c r="N1" s="4" t="str">
        <x:v>Trades / observations</x:v>
      </x:c>
      <x:c r="O1" s="4" t="str">
        <x:v>Gate pass</x:v>
      </x:c>
      <x:c r="P1" s="4" t="str">
        <x:v>Status</x:v>
      </x:c>
      <x:c r="Q1" s="4" t="str">
        <x:v>Selection criterion</x:v>
      </x:c>
      <x:c r="R1" s="4" t="str">
        <x:v>Main difference</x:v>
      </x:c>
      <x:c r="S1" s="4" t="str">
        <x:v>Decision</x:v>
      </x:c>
      <x:c r="T1" s="4" t="str">
        <x:v>Source report</x:v>
      </x:c>
    </x:row>
    <x:row r="2" ht="52" customHeight="1">
      <x:c r="A2" s="13" t="str">
        <x:v>M01_ADA_DONCHIAN48</x:v>
      </x:c>
      <x:c r="B2" s="13" t="str">
        <x:v>05.08 M1
ADA D48</x:v>
      </x:c>
      <x:c r="C2" s="13" t="str">
        <x:v>05.08.2026, 07:25</x:v>
      </x:c>
      <x:c r="D2" s="13" t="str">
        <x:v>1h</x:v>
      </x:c>
      <x:c r="E2" s="13" t="str">
        <x:v>development</x:v>
      </x:c>
      <x:c r="F2" s="13" t="str">
        <x:v>exia_ada_donchian48_v2</x:v>
      </x:c>
      <x:c r="G2" s="14" t="n">
        <x:v>-9.193448777880858</x:v>
      </x:c>
      <x:c r="H2" s="14" t="n">
        <x:v>-10.959297980698064</x:v>
      </x:c>
      <x:c r="I2" s="14" t="n">
        <x:v>-7.613478438518079</x:v>
      </x:c>
      <x:c r="J2" s="14"/>
      <x:c r="K2" s="14" t="n">
        <x:v>-80.01052536351571</x:v>
      </x:c>
      <x:c r="L2" s="14"/>
      <x:c r="M2" s="14"/>
      <x:c r="N2" s="15" t="n">
        <x:v>180</x:v>
      </x:c>
      <x:c r="O2" s="13" t="str">
        <x:v>FAIL</x:v>
      </x:c>
      <x:c r="P2" s="13" t="str">
        <x:v>NO_CANDIDATE_FOR_VALIDATION</x:v>
      </x:c>
      <x:c r="Q2" s="13" t="str">
        <x:v>Best sealed early trend candidate</x:v>
      </x:c>
      <x:c r="R2" s="13" t="str">
        <x:v>Первый costed trend baseline с отдельными TREND_UP/TREND_DOWN срезами.</x:v>
      </x:c>
      <x:c r="S2" s="13" t="str">
        <x:v>FAIL: отрицательные mean и LCB</x:v>
      </x:c>
      <x:c r="T2" s="13" t="str">
        <x:v>Reports\Exia\ada_donchian48_v2\development_report.json</x:v>
      </x:c>
    </x:row>
    <x:row r="3" ht="52" customHeight="1">
      <x:c r="A3" s="13" t="str">
        <x:v>M02_RANGE_REENTRY</x:v>
      </x:c>
      <x:c r="B3" s="13" t="str">
        <x:v>05.08 M2
Range</x:v>
      </x:c>
      <x:c r="C3" s="13" t="str">
        <x:v>05.08.2026, 07:26</x:v>
      </x:c>
      <x:c r="D3" s="13" t="str">
        <x:v>1h</x:v>
      </x:c>
      <x:c r="E3" s="13" t="str">
        <x:v>development</x:v>
      </x:c>
      <x:c r="F3" s="13" t="str">
        <x:v>exia_range_band_reentry_v1</x:v>
      </x:c>
      <x:c r="G3" s="14" t="n">
        <x:v>-18.972577138407747</x:v>
      </x:c>
      <x:c r="H3" s="14"/>
      <x:c r="I3" s="14"/>
      <x:c r="J3" s="14" t="n">
        <x:v>-18.972577138407747</x:v>
      </x:c>
      <x:c r="K3" s="14" t="n">
        <x:v>-31.583757696969847</x:v>
      </x:c>
      <x:c r="L3" s="14"/>
      <x:c r="M3" s="14"/>
      <x:c r="N3" s="15" t="n">
        <x:v>481</x:v>
      </x:c>
      <x:c r="O3" s="13" t="str">
        <x:v>FAIL</x:v>
      </x:c>
      <x:c r="P3" s="13" t="str">
        <x:v>NO_CANDIDATE_FOR_VALIDATION</x:v>
      </x:c>
      <x:c r="Q3" s="13" t="str">
        <x:v>Dedicated range candidate</x:v>
      </x:c>
      <x:c r="R3" s="13" t="str">
        <x:v>Отдельный RANGE-only агент вместо общей trend-логики.</x:v>
      </x:c>
      <x:c r="S3" s="13" t="str">
        <x:v>FAIL: range expectancy отрицательная</x:v>
      </x:c>
      <x:c r="T3" s="13" t="str">
        <x:v>Reports\Exia\range_band_reentry_v1\development_report.json</x:v>
      </x:c>
    </x:row>
    <x:row r="4" ht="52" customHeight="1">
      <x:c r="A4" s="13" t="str">
        <x:v>M03_REGIME_TRANSITION</x:v>
      </x:c>
      <x:c r="B4" s="13" t="str">
        <x:v>11.08 M3
Transition</x:v>
      </x:c>
      <x:c r="C4" s="13" t="str">
        <x:v>11.08.2026, 14:18</x:v>
      </x:c>
      <x:c r="D4" s="13" t="str">
        <x:v>1h</x:v>
      </x:c>
      <x:c r="E4" s="13" t="str">
        <x:v>development</x:v>
      </x:c>
      <x:c r="F4" s="13" t="str">
        <x:v>exia_range_trend_transition_v1</x:v>
      </x:c>
      <x:c r="G4" s="14" t="n">
        <x:v>-10.455404893311561</x:v>
      </x:c>
      <x:c r="H4" s="14" t="n">
        <x:v>-9.97839505156172</x:v>
      </x:c>
      <x:c r="I4" s="14" t="n">
        <x:v>-11.015808064038644</x:v>
      </x:c>
      <x:c r="J4" s="14"/>
      <x:c r="K4" s="14" t="n">
        <x:v>-40.89510398643512</x:v>
      </x:c>
      <x:c r="L4" s="14"/>
      <x:c r="M4" s="14"/>
      <x:c r="N4" s="15" t="n">
        <x:v>311</x:v>
      </x:c>
      <x:c r="O4" s="13" t="str">
        <x:v>FAIL</x:v>
      </x:c>
      <x:c r="P4" s="13" t="str">
        <x:v>NO_CANDIDATE_FOR_VALIDATION</x:v>
      </x:c>
      <x:c r="Q4" s="13" t="str">
        <x:v>Fresh range-to-trend transition</x:v>
      </x:c>
      <x:c r="R4" s="13" t="str">
        <x:v>Вход только на переходе режима, а не внутри устойчивого состояния.</x:v>
      </x:c>
      <x:c r="S4" s="13" t="str">
        <x:v>FAIL: оба trend-режима отрицательны</x:v>
      </x:c>
      <x:c r="T4" s="13" t="str">
        <x:v>Reports\Exia\range_trend_transition_v1\development_report.json</x:v>
      </x:c>
    </x:row>
    <x:row r="5" ht="52" customHeight="1">
      <x:c r="A5" s="13" t="str">
        <x:v>M04_4H_MARKET_QUORUM</x:v>
      </x:c>
      <x:c r="B5" s="13" t="str">
        <x:v>20.08 M4
4h quorum</x:v>
      </x:c>
      <x:c r="C5" s="13" t="str">
        <x:v>20.08.2026, 07:03</x:v>
      </x:c>
      <x:c r="D5" s="13" t="str">
        <x:v>4h</x:v>
      </x:c>
      <x:c r="E5" s="13" t="str">
        <x:v>development</x:v>
      </x:c>
      <x:c r="F5" s="13" t="str">
        <x:v>MQ_EMA12_48_LONG</x:v>
      </x:c>
      <x:c r="G5" s="14" t="n">
        <x:v>34.98139059809065</x:v>
      </x:c>
      <x:c r="H5" s="14" t="n">
        <x:v>34.98139059809065</x:v>
      </x:c>
      <x:c r="I5" s="14"/>
      <x:c r="J5" s="14"/>
      <x:c r="K5" s="14" t="n">
        <x:v>-6.728629393676774</x:v>
      </x:c>
      <x:c r="L5" s="14" t="n">
        <x:v>-28.629214937019796</x:v>
      </x:c>
      <x:c r="M5" s="14"/>
      <x:c r="N5" s="15" t="n">
        <x:v>875</x:v>
      </x:c>
      <x:c r="O5" s="13" t="str">
        <x:v>FAIL</x:v>
      </x:c>
      <x:c r="P5" s="13" t="str">
        <x:v>NO_4H_CANDIDATE_PASSED_STAGED_GATE</x:v>
      </x:c>
      <x:c r="Q5" s="13" t="str">
        <x:v>Highest development family-wise LCB in the 4h candidate family</x:v>
      </x:c>
      <x:c r="R5" s="13" t="str">
        <x:v>Единый 4h full8 market quorum; нейтральный режим стал NoTrade.</x:v>
      </x:c>
      <x:c r="S5" s="13" t="str">
        <x:v>FAIL: positive mean, negative LCB</x:v>
      </x:c>
      <x:c r="T5" s="13" t="str">
        <x:v>Reports\Exia\four_hour_candidate_screen_v1_final\report.json</x:v>
      </x:c>
    </x:row>
    <x:row r="6" ht="52" customHeight="1">
      <x:c r="A6" s="13" t="str">
        <x:v>M05_TAIL_CONTROL</x:v>
      </x:c>
      <x:c r="B6" s="13" t="str">
        <x:v>20.08 M5
Tail exit</x:v>
      </x:c>
      <x:c r="C6" s="13" t="str">
        <x:v>20.08.2026, 07:29</x:v>
      </x:c>
      <x:c r="D6" s="13" t="str">
        <x:v>4h</x:v>
      </x:c>
      <x:c r="E6" s="13" t="str">
        <x:v>development</x:v>
      </x:c>
      <x:c r="F6" s="13" t="str">
        <x:v>ATR_BREAKEVEN_PROGRESS24</x:v>
      </x:c>
      <x:c r="G6" s="14" t="n">
        <x:v>13.093182838936828</x:v>
      </x:c>
      <x:c r="H6" s="14" t="n">
        <x:v>13.093182838936832</x:v>
      </x:c>
      <x:c r="I6" s="14"/>
      <x:c r="J6" s="14"/>
      <x:c r="K6" s="14" t="n">
        <x:v>-14.325441904054664</x:v>
      </x:c>
      <x:c r="L6" s="14" t="n">
        <x:v>-23.174873317433995</x:v>
      </x:c>
      <x:c r="M6" s="14" t="n">
        <x:v>-18.670942750498394</x:v>
      </x:c>
      <x:c r="N6" s="15" t="n">
        <x:v>1264</x:v>
      </x:c>
      <x:c r="O6" s="13" t="str">
        <x:v>FAIL</x:v>
      </x:c>
      <x:c r="P6" s="13" t="str">
        <x:v>NO_EXIT_POLICY_PASSED_STAGED_GATE</x:v>
      </x:c>
      <x:c r="Q6" s="13" t="str">
        <x:v>Best median and P01 among preregistered non-control exits</x:v>
      </x:c>
      <x:c r="R6" s="13" t="str">
        <x:v>Gap-aware ATR, breakeven, no-progress и max-holding при неизменном входе.</x:v>
      </x:c>
      <x:c r="S6" s="13" t="str">
        <x:v>FAIL: median improved but remains negative</x:v>
      </x:c>
      <x:c r="T6" s="13" t="str">
        <x:v>Reports\Exia\four_hour_exit_policy_screen_v1_final\report.json</x:v>
      </x:c>
    </x:row>
    <x:row r="7" ht="52" customHeight="1">
      <x:c r="A7" s="13" t="str">
        <x:v>M06_SPARSE_EVENTS</x:v>
      </x:c>
      <x:c r="B7" s="13" t="str">
        <x:v>20.08 M6
Sparse</x:v>
      </x:c>
      <x:c r="C7" s="13" t="str">
        <x:v>20.08.2026, 07:40</x:v>
      </x:c>
      <x:c r="D7" s="13" t="str">
        <x:v>4h</x:v>
      </x:c>
      <x:c r="E7" s="13" t="str">
        <x:v>development</x:v>
      </x:c>
      <x:c r="F7" s="13" t="str">
        <x:v>TOP_QUARTILE_BREAKOUT20</x:v>
      </x:c>
      <x:c r="G7" s="14" t="n">
        <x:v>-7.9268364201409405</x:v>
      </x:c>
      <x:c r="H7" s="14" t="n">
        <x:v>-7.9268364201409405</x:v>
      </x:c>
      <x:c r="I7" s="14"/>
      <x:c r="J7" s="14"/>
      <x:c r="K7" s="14" t="n">
        <x:v>-65.42066186099755</x:v>
      </x:c>
      <x:c r="L7" s="14" t="n">
        <x:v>-86.27400950116363</x:v>
      </x:c>
      <x:c r="M7" s="14" t="n">
        <x:v>-16</x:v>
      </x:c>
      <x:c r="N7" s="15" t="n">
        <x:v>350</x:v>
      </x:c>
      <x:c r="O7" s="13" t="str">
        <x:v>FAIL</x:v>
      </x:c>
      <x:c r="P7" s="13" t="str">
        <x:v>NO_SPARSE_EVENT_PASSED_STAGED_GATE</x:v>
      </x:c>
      <x:c r="Q7" s="13" t="str">
        <x:v>Best stress mean and LCB among non-control sparse events</x:v>
      </x:c>
      <x:c r="R7" s="13" t="str">
        <x:v>Одноразовые event-входы; нулевой event больше не закрывает позицию.</x:v>
      </x:c>
      <x:c r="S7" s="13" t="str">
        <x:v>FAIL: expectancy and LCB negative</x:v>
      </x:c>
      <x:c r="T7" s="13" t="str">
        <x:v>Reports\Exia\four_hour_sparse_event_screen_v1_authoritative\report.json</x:v>
      </x:c>
    </x:row>
    <x:row r="8" ht="52" customHeight="1">
      <x:c r="A8" s="13" t="str">
        <x:v>M07_FORWARD_FEASIBILITY</x:v>
      </x:c>
      <x:c r="B8" s="13" t="str">
        <x:v>20.08 M7
H1 label</x:v>
      </x:c>
      <x:c r="C8" s="13" t="str">
        <x:v>20.08.2026, 07:54</x:v>
      </x:c>
      <x:c r="D8" s="13" t="str">
        <x:v>4h</x:v>
      </x:c>
      <x:c r="E8" s="13" t="str">
        <x:v>development</x:v>
      </x:c>
      <x:c r="F8" s="13" t="str">
        <x:v>BULLISH_REGIME_TRANSITION__H1</x:v>
      </x:c>
      <x:c r="G8" s="14" t="n">
        <x:v>28.053810183038564</x:v>
      </x:c>
      <x:c r="H8" s="14" t="n">
        <x:v>28.05381018303857</x:v>
      </x:c>
      <x:c r="I8" s="14"/>
      <x:c r="J8" s="14"/>
      <x:c r="K8" s="14" t="n">
        <x:v>7.590933097525903</x:v>
      </x:c>
      <x:c r="L8" s="14" t="n">
        <x:v>-4.3189608993134</x:v>
      </x:c>
      <x:c r="M8" s="14" t="n">
        <x:v>-7.171990958565008</x:v>
      </x:c>
      <x:c r="N8" s="15" t="n">
        <x:v>605</x:v>
      </x:c>
      <x:c r="O8" s="13" t="str">
        <x:v>FAIL</x:v>
      </x:c>
      <x:c r="P8" s="13" t="str">
        <x:v>NO_EVENT_HORIZON_PASSED_STAGED_GATE</x:v>
      </x:c>
      <x:c r="Q8" s="13" t="str">
        <x:v>Highest ordinary and family-wise LCB among non-control fixed horizons</x:v>
      </x:c>
      <x:c r="R8" s="13" t="str">
        <x:v>Вход проверяется напрямую на fixed horizon без stop/trailing/position-policy.</x:v>
      </x:c>
      <x:c r="S8" s="13" t="str">
        <x:v>FAIL: ordinary LCB positive, family-wise LCB and median negative</x:v>
      </x:c>
      <x:c r="T8" s="13" t="str">
        <x:v>Reports\Exia\four_hour_forward_feasibility_v1_authoritative\report.json</x:v>
      </x:c>
    </x:row>
    <x:row r="9" ht="52" customHeight="1">
      <x:c r="A9" s="16" t="str">
        <x:v>M08_SOL_VALIDATION</x:v>
      </x:c>
      <x:c r="B9" s="16" t="str">
        <x:v>20.08 M8
SOL val</x:v>
      </x:c>
      <x:c r="C9" s="16" t="str">
        <x:v>20.08.2026, 08:03</x:v>
      </x:c>
      <x:c r="D9" s="16" t="str">
        <x:v>4h</x:v>
      </x:c>
      <x:c r="E9" s="16" t="str">
        <x:v>validation</x:v>
      </x:c>
      <x:c r="F9" s="16" t="str">
        <x:v>SOL_PULLBACK_H12_REPLICATION</x:v>
      </x:c>
      <x:c r="G9" s="17" t="n">
        <x:v>57.57277767464116</x:v>
      </x:c>
      <x:c r="H9" s="17" t="n">
        <x:v>57.57277767464116</x:v>
      </x:c>
      <x:c r="I9" s="17"/>
      <x:c r="J9" s="17"/>
      <x:c r="K9" s="17" t="n">
        <x:v>-190.23731434430195</x:v>
      </x:c>
      <x:c r="L9" s="17" t="n">
        <x:v>-192.34797779477023</x:v>
      </x:c>
      <x:c r="M9" s="17" t="n">
        <x:v>-75.26337525393343</x:v>
      </x:c>
      <x:c r="N9" s="18" t="n">
        <x:v>20</x:v>
      </x:c>
      <x:c r="O9" s="16" t="str">
        <x:v>FAIL</x:v>
      </x:c>
      <x:c r="P9" s="16" t="str">
        <x:v>VALIDATION_REPLICATION_FAILED</x:v>
      </x:c>
      <x:c r="Q9" s="16" t="str">
        <x:v>Independent replication of the only retained development slice</x:v>
      </x:c>
      <x:c r="R9" s="16" t="str">
        <x:v>Независимая validation без повторного подбора; ветка закрывается при провале.</x:v>
      </x:c>
      <x:c r="S9" s="16" t="str">
        <x:v>VALIDATION FAIL: close 4h long-trend branch</x:v>
      </x:c>
      <x:c r="T9" s="16" t="str">
        <x:v>Reports\Exia\four_hour_sol_pullback_h12_replication_v1_authoritative\report.json</x:v>
      </x:c>
    </x:row>
  </x:sheetData>
  <x:conditionalFormatting sqref="O2:O9">
    <x:cfRule type="cellIs" dxfId="0" priority="1" operator="equal">
      <x:formula>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bc69cd186247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8" hidden="0" customWidth="1"/>
    <x:col min="4" max="4" width="68" hidden="0" customWidth="1"/>
    <x:col min="6" max="6" width="68" hidden="0" customWidth="1"/>
    <x:col min="3" max="3" width="68" hidden="0" customWidth="1"/>
    <x:col min="5" max="5" width="68" hidden="0" customWidth="1"/>
    <x:col min="7" max="7" width="68" hidden="0" customWidth="1"/>
  </x:cols>
  <x:sheetData>
    <x:row r="1" ht="36" customHeight="1">
      <x:c r="A1" s="21" t="str">
        <x:v>Milestone ID</x:v>
      </x:c>
      <x:c r="B1" s="21" t="str">
        <x:v>Report path</x:v>
      </x:c>
      <x:c r="C1" s="21" t="str">
        <x:v>Report SHA-256</x:v>
      </x:c>
      <x:c r="D1" s="21" t="str">
        <x:v>Metrics path</x:v>
      </x:c>
      <x:c r="E1" s="21" t="str">
        <x:v>Metrics SHA-256</x:v>
      </x:c>
      <x:c r="F1" s="21" t="str">
        <x:v>Ledger path</x:v>
      </x:c>
      <x:c r="G1" s="21" t="str">
        <x:v>Ledger SHA-256</x:v>
      </x:c>
    </x:row>
    <x:row r="2" ht="48" customHeight="1">
      <x:c r="A2" s="13" t="str">
        <x:v>M01_ADA_DONCHIAN48</x:v>
      </x:c>
      <x:c r="B2" s="13" t="str">
        <x:v>Reports\Exia\ada_donchian48_v2\development_report.json</x:v>
      </x:c>
      <x:c r="C2" s="13" t="str">
        <x:v>e2e90797ff072198d61c0ce4ec074543da8ffafa5fd93b5781057cc51b1feafd</x:v>
      </x:c>
      <x:c r="D2" s="13"/>
      <x:c r="E2" s="13"/>
      <x:c r="F2" s="13"/>
      <x:c r="G2" s="13"/>
    </x:row>
    <x:row r="3" ht="48" customHeight="1">
      <x:c r="A3" s="13" t="str">
        <x:v>M02_RANGE_REENTRY</x:v>
      </x:c>
      <x:c r="B3" s="13" t="str">
        <x:v>Reports\Exia\range_band_reentry_v1\development_report.json</x:v>
      </x:c>
      <x:c r="C3" s="13" t="str">
        <x:v>342152e84a9614ac1f57dd3024eceb1f82169268c49b9a59752505a9f6e4b3b4</x:v>
      </x:c>
      <x:c r="D3" s="13"/>
      <x:c r="E3" s="13"/>
      <x:c r="F3" s="13"/>
      <x:c r="G3" s="13"/>
    </x:row>
    <x:row r="4" ht="48" customHeight="1">
      <x:c r="A4" s="13" t="str">
        <x:v>M03_REGIME_TRANSITION</x:v>
      </x:c>
      <x:c r="B4" s="13" t="str">
        <x:v>Reports\Exia\range_trend_transition_v1\development_report.json</x:v>
      </x:c>
      <x:c r="C4" s="13" t="str">
        <x:v>bf04694b706c07bac7b27d331c8ede35795b573460b7cd4938d59951ad2bbae4</x:v>
      </x:c>
      <x:c r="D4" s="13"/>
      <x:c r="E4" s="13"/>
      <x:c r="F4" s="13"/>
      <x:c r="G4" s="13"/>
    </x:row>
    <x:row r="5" ht="48" customHeight="1">
      <x:c r="A5" s="13" t="str">
        <x:v>M04_4H_MARKET_QUORUM</x:v>
      </x:c>
      <x:c r="B5" s="13" t="str">
        <x:v>Reports\Exia\four_hour_candidate_screen_v1_final\report.json</x:v>
      </x:c>
      <x:c r="C5" s="13" t="str">
        <x:v>3edff75c54324ac7fc8e931ca3cb42a09bc21196c756656328d0e84f6b96ab38</x:v>
      </x:c>
      <x:c r="D5" s="13" t="str">
        <x:v>Reports\Exia\four_hour_candidate_screen_v1_final\metrics.parquet</x:v>
      </x:c>
      <x:c r="E5" s="13" t="str">
        <x:v>ac4f269530aa4e4f59cfff4e2060bfe91a03172d30322b08b571af0a44221d40</x:v>
      </x:c>
      <x:c r="F5" s="13" t="str">
        <x:v>Reports\Exia\four_hour_candidate_screen_v1_final\trades.parquet</x:v>
      </x:c>
      <x:c r="G5" s="13" t="str">
        <x:v>b404c668d4499e4649c7f462043a1e760e4a38beeebb5baa49536b27537ddac7</x:v>
      </x:c>
    </x:row>
    <x:row r="6" ht="48" customHeight="1">
      <x:c r="A6" s="13" t="str">
        <x:v>M05_TAIL_CONTROL</x:v>
      </x:c>
      <x:c r="B6" s="13" t="str">
        <x:v>Reports\Exia\four_hour_exit_policy_screen_v1_final\report.json</x:v>
      </x:c>
      <x:c r="C6" s="13" t="str">
        <x:v>fb4e4105b3ad5a5b02ed4f97b56bad5bcceb3c61d74698826d79a43ac96ca7b4</x:v>
      </x:c>
      <x:c r="D6" s="13" t="str">
        <x:v>Reports\Exia\four_hour_exit_policy_screen_v1_final\metrics.parquet</x:v>
      </x:c>
      <x:c r="E6" s="13" t="str">
        <x:v>6ae23f2c3800d3fec3a9f7de9344fdba7942ab84071c21f29ad98f7918959a85</x:v>
      </x:c>
      <x:c r="F6" s="13" t="str">
        <x:v>Reports\Exia\four_hour_exit_policy_screen_v1_final\trades.parquet</x:v>
      </x:c>
      <x:c r="G6" s="13" t="str">
        <x:v>77f30752e3ab04c70a79d4433f309578b897a4e42c98ea94e3cfb6edd75d2433</x:v>
      </x:c>
    </x:row>
    <x:row r="7" ht="48" customHeight="1">
      <x:c r="A7" s="13" t="str">
        <x:v>M06_SPARSE_EVENTS</x:v>
      </x:c>
      <x:c r="B7" s="13" t="str">
        <x:v>Reports\Exia\four_hour_sparse_event_screen_v1_authoritative\report.json</x:v>
      </x:c>
      <x:c r="C7" s="13" t="str">
        <x:v>84441c0493720a624dc42a5ea45dfddf04f43e4037061e676a22a824f4421010</x:v>
      </x:c>
      <x:c r="D7" s="13" t="str">
        <x:v>Reports\Exia\four_hour_sparse_event_screen_v1_authoritative\metrics.parquet</x:v>
      </x:c>
      <x:c r="E7" s="13" t="str">
        <x:v>62b9da84d4edfa847217a35a0c9d95ee1073ca0879134a1897a6a1ceb4cc4915</x:v>
      </x:c>
      <x:c r="F7" s="13" t="str">
        <x:v>Reports\Exia\four_hour_sparse_event_screen_v1_authoritative\trades.parquet</x:v>
      </x:c>
      <x:c r="G7" s="13" t="str">
        <x:v>596cb7b85732d2f01fce9bf4805edc1a51482a1c5d7fa916484536165fa001f4</x:v>
      </x:c>
    </x:row>
    <x:row r="8" ht="48" customHeight="1">
      <x:c r="A8" s="13" t="str">
        <x:v>M07_FORWARD_FEASIBILITY</x:v>
      </x:c>
      <x:c r="B8" s="13" t="str">
        <x:v>Reports\Exia\four_hour_forward_feasibility_v1_authoritative\report.json</x:v>
      </x:c>
      <x:c r="C8" s="13" t="str">
        <x:v>fdb2c4e6ee98bf252e27de0ed5f448c34647b2a6d592a3e6472cd77a1e5e5f72</x:v>
      </x:c>
      <x:c r="D8" s="13" t="str">
        <x:v>Reports\Exia\four_hour_forward_feasibility_v1_authoritative\metrics.parquet</x:v>
      </x:c>
      <x:c r="E8" s="13" t="str">
        <x:v>d8fc1dd831df5bb39fd67c37771417d69ccc1e67a8d76ee8b843b5437b7a1bad</x:v>
      </x:c>
      <x:c r="F8" s="13" t="str">
        <x:v>Reports\Exia\four_hour_forward_feasibility_v1_authoritative\observations.parquet</x:v>
      </x:c>
      <x:c r="G8" s="13" t="str">
        <x:v>5bdd5e6f09a6d664b30ddd085fd5d1ab14bd4c79c7e4c38c9873017b733144ac</x:v>
      </x:c>
    </x:row>
    <x:row r="9" ht="48" customHeight="1">
      <x:c r="A9" s="13" t="str">
        <x:v>M08_SOL_VALIDATION</x:v>
      </x:c>
      <x:c r="B9" s="13" t="str">
        <x:v>Reports\Exia\four_hour_sol_pullback_h12_replication_v1_authoritative\report.json</x:v>
      </x:c>
      <x:c r="C9" s="13" t="str">
        <x:v>b2f75e4d1b412cf09500ed9442faddcc932f1919d3b6a92700ca6c727dc85d93</x:v>
      </x:c>
      <x:c r="D9" s="13" t="str">
        <x:v>Reports\Exia\four_hour_sol_pullback_h12_replication_v1_authoritative\metrics.parquet</x:v>
      </x:c>
      <x:c r="E9" s="13" t="str">
        <x:v>a9dfe76972dc07b9f31fc092ce86654fa1c33d296f1c788da5f1106c8a488717</x:v>
      </x:c>
      <x:c r="F9" s="13" t="str">
        <x:v>Reports\Exia\four_hour_sol_pullback_h12_replication_v1_authoritative\observations.parquet</x:v>
      </x:c>
      <x:c r="G9" s="13" t="str">
        <x:v>58519c9f4661124c6d2337ffc1c126d37c2d8674344bbe6026e357f74a761749</x:v>
      </x:c>
    </x:row>
  </x:sheetData>
  <x:pageMargins left="0.7" right="0.7" top="0.75" bottom="0.75" header="0.3" footer="0.3"/>
  <x:tableParts count="1">
    <x:tablePart xmlns:r="http://schemas.openxmlformats.org/officeDocument/2006/relationships" r:id="Rfcd1d97b0b2f45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4" t="str">
        <x:v>Build milestone</x:v>
      </x:c>
      <x:c r="B1" s="24" t="str">
        <x:v>Overall</x:v>
      </x:c>
      <x:c r="C1" s="24" t="str">
        <x:v>Trend Up</x:v>
      </x:c>
      <x:c r="D1" s="24" t="str">
        <x:v>Trend Down</x:v>
      </x:c>
      <x:c r="E1" s="24" t="str">
        <x:v>Range / Neutral</x:v>
      </x:c>
    </x:row>
    <x:row r="2">
      <x:c r="A2" s="22" t="str">
        <x:f>'Milestones'!B2</x:f>
        <x:v>05.08 M1
ADA D48</x:v>
      </x:c>
      <x:c r="B2" s="25" t="n">
        <x:f>'Milestones'!G2</x:f>
        <x:v>-9.193448777880858</x:v>
      </x:c>
      <x:c r="C2" s="25" t="n">
        <x:f>IF(ISBLANK('Milestones'!H2),"",'Milestones'!H2)</x:f>
        <x:v>-10.959297980698064</x:v>
      </x:c>
      <x:c r="D2" s="25" t="n">
        <x:f>IF(ISBLANK('Milestones'!I2),"",'Milestones'!I2)</x:f>
        <x:v>-7.613478438518079</x:v>
      </x:c>
      <x:c r="E2" s="25" t="str">
        <x:f>IF(ISBLANK('Milestones'!J2),"",'Milestones'!J2)</x:f>
      </x:c>
    </x:row>
    <x:row r="3">
      <x:c r="A3" s="22" t="str">
        <x:f>'Milestones'!B3</x:f>
        <x:v>05.08 M2
Range</x:v>
      </x:c>
      <x:c r="B3" s="25" t="n">
        <x:f>'Milestones'!G3</x:f>
        <x:v>-18.972577138407747</x:v>
      </x:c>
      <x:c r="C3" s="25" t="str">
        <x:f>IF(ISBLANK('Milestones'!H3),"",'Milestones'!H3)</x:f>
      </x:c>
      <x:c r="D3" s="25" t="str">
        <x:f>IF(ISBLANK('Milestones'!I3),"",'Milestones'!I3)</x:f>
      </x:c>
      <x:c r="E3" s="25" t="n">
        <x:f>IF(ISBLANK('Milestones'!J3),"",'Milestones'!J3)</x:f>
        <x:v>-18.972577138407747</x:v>
      </x:c>
    </x:row>
    <x:row r="4">
      <x:c r="A4" s="22" t="str">
        <x:f>'Milestones'!B4</x:f>
        <x:v>11.08 M3
Transition</x:v>
      </x:c>
      <x:c r="B4" s="25" t="n">
        <x:f>'Milestones'!G4</x:f>
        <x:v>-10.455404893311561</x:v>
      </x:c>
      <x:c r="C4" s="25" t="n">
        <x:f>IF(ISBLANK('Milestones'!H4),"",'Milestones'!H4)</x:f>
        <x:v>-9.97839505156172</x:v>
      </x:c>
      <x:c r="D4" s="25" t="n">
        <x:f>IF(ISBLANK('Milestones'!I4),"",'Milestones'!I4)</x:f>
        <x:v>-11.015808064038644</x:v>
      </x:c>
      <x:c r="E4" s="25" t="str">
        <x:f>IF(ISBLANK('Milestones'!J4),"",'Milestones'!J4)</x:f>
      </x:c>
    </x:row>
    <x:row r="5">
      <x:c r="A5" s="22" t="str">
        <x:f>'Milestones'!B5</x:f>
        <x:v>20.08 M4
4h quorum</x:v>
      </x:c>
      <x:c r="B5" s="25" t="n">
        <x:f>'Milestones'!G5</x:f>
        <x:v>34.98139059809065</x:v>
      </x:c>
      <x:c r="C5" s="25" t="n">
        <x:f>IF(ISBLANK('Milestones'!H5),"",'Milestones'!H5)</x:f>
        <x:v>34.98139059809065</x:v>
      </x:c>
      <x:c r="D5" s="25" t="str">
        <x:f>IF(ISBLANK('Milestones'!I5),"",'Milestones'!I5)</x:f>
      </x:c>
      <x:c r="E5" s="25" t="str">
        <x:f>IF(ISBLANK('Milestones'!J5),"",'Milestones'!J5)</x:f>
      </x:c>
    </x:row>
    <x:row r="6">
      <x:c r="A6" s="22" t="str">
        <x:f>'Milestones'!B6</x:f>
        <x:v>20.08 M5
Tail exit</x:v>
      </x:c>
      <x:c r="B6" s="25" t="n">
        <x:f>'Milestones'!G6</x:f>
        <x:v>13.093182838936828</x:v>
      </x:c>
      <x:c r="C6" s="25" t="n">
        <x:f>IF(ISBLANK('Milestones'!H6),"",'Milestones'!H6)</x:f>
        <x:v>13.093182838936832</x:v>
      </x:c>
      <x:c r="D6" s="25" t="str">
        <x:f>IF(ISBLANK('Milestones'!I6),"",'Milestones'!I6)</x:f>
      </x:c>
      <x:c r="E6" s="25" t="str">
        <x:f>IF(ISBLANK('Milestones'!J6),"",'Milestones'!J6)</x:f>
      </x:c>
    </x:row>
    <x:row r="7">
      <x:c r="A7" s="22" t="str">
        <x:f>'Milestones'!B7</x:f>
        <x:v>20.08 M6
Sparse</x:v>
      </x:c>
      <x:c r="B7" s="25" t="n">
        <x:f>'Milestones'!G7</x:f>
        <x:v>-7.9268364201409405</x:v>
      </x:c>
      <x:c r="C7" s="25" t="n">
        <x:f>IF(ISBLANK('Milestones'!H7),"",'Milestones'!H7)</x:f>
        <x:v>-7.9268364201409405</x:v>
      </x:c>
      <x:c r="D7" s="25" t="str">
        <x:f>IF(ISBLANK('Milestones'!I7),"",'Milestones'!I7)</x:f>
      </x:c>
      <x:c r="E7" s="25" t="str">
        <x:f>IF(ISBLANK('Milestones'!J7),"",'Milestones'!J7)</x:f>
      </x:c>
    </x:row>
    <x:row r="8">
      <x:c r="A8" s="22" t="str">
        <x:f>'Milestones'!B8</x:f>
        <x:v>20.08 M7
H1 label</x:v>
      </x:c>
      <x:c r="B8" s="25" t="n">
        <x:f>'Milestones'!G8</x:f>
        <x:v>28.053810183038564</x:v>
      </x:c>
      <x:c r="C8" s="25" t="n">
        <x:f>IF(ISBLANK('Milestones'!H8),"",'Milestones'!H8)</x:f>
        <x:v>28.05381018303857</x:v>
      </x:c>
      <x:c r="D8" s="25" t="str">
        <x:f>IF(ISBLANK('Milestones'!I8),"",'Milestones'!I8)</x:f>
      </x:c>
      <x:c r="E8" s="25" t="str">
        <x:f>IF(ISBLANK('Milestones'!J8),"",'Milestones'!J8)</x:f>
      </x:c>
    </x:row>
    <x:row r="9">
      <x:c r="A9" s="22" t="str">
        <x:f>'Milestones'!B9</x:f>
        <x:v>20.08 M8
SOL val</x:v>
      </x:c>
      <x:c r="B9" s="25" t="n">
        <x:f>'Milestones'!G9</x:f>
        <x:v>57.57277767464116</x:v>
      </x:c>
      <x:c r="C9" s="25" t="n">
        <x:f>IF(ISBLANK('Milestones'!H9),"",'Milestones'!H9)</x:f>
        <x:v>57.57277767464116</x:v>
      </x:c>
      <x:c r="D9" s="25" t="str">
        <x:f>IF(ISBLANK('Milestones'!I9),"",'Milestones'!I9)</x:f>
      </x:c>
      <x:c r="E9" s="25" t="str">
        <x:f>IF(ISBLANK('Milestones'!J9),"",'Milestones'!J9)</x:f>
      </x:c>
    </x:row>
  </x:sheetData>
  <x:pageMargins left="0.7" right="0.7" top="0.75" bottom="0.75" header="0.3" footer="0.3"/>
</x:worksheet>
</file>